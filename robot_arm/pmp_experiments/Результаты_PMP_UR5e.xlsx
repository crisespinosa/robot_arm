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ist\robot\robot_arm\robot_arm\pmp_experiments\"/>
    </mc:Choice>
  </mc:AlternateContent>
  <xr:revisionPtr revIDLastSave="0" documentId="13_ncr:1_{E282CD67-FDB7-4878-B0A1-E911F29C4450}" xr6:coauthVersionLast="47" xr6:coauthVersionMax="47" xr10:uidLastSave="{00000000-0000-0000-0000-000000000000}"/>
  <bookViews>
    <workbookView xWindow="-98" yWindow="-98" windowWidth="21795" windowHeight="11625" tabRatio="500" firstSheet="1" activeTab="2" xr2:uid="{00000000-000D-0000-FFFF-FFFF00000000}"/>
  </bookViews>
  <sheets>
    <sheet name="Эксперименты из дома" sheetId="1" r:id="rId1"/>
    <sheet name="Последовательные эксп." sheetId="2" r:id="rId2"/>
    <sheet name="Выводы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1" l="1"/>
  <c r="J6" i="1"/>
  <c r="J7" i="1"/>
  <c r="J4" i="1"/>
  <c r="I5" i="1"/>
  <c r="I6" i="1"/>
  <c r="I7" i="1"/>
  <c r="I4" i="1"/>
</calcChain>
</file>

<file path=xl/sharedStrings.xml><?xml version="1.0" encoding="utf-8"?>
<sst xmlns="http://schemas.openxmlformats.org/spreadsheetml/2006/main" count="87" uniqueCount="43">
  <si>
    <t>Таблица 1: Эксперименты из начальной позиции (q₀ = 0)</t>
  </si>
  <si>
    <t>Эксп.</t>
  </si>
  <si>
    <t>q_start (рад)</t>
  </si>
  <si>
    <t>q_target (рад)</t>
  </si>
  <si>
    <t>T (с)</t>
  </si>
  <si>
    <t>dt (с)</t>
  </si>
  <si>
    <t>err_RMS (рад)</t>
  </si>
  <si>
    <t>err_max (рад)</t>
  </si>
  <si>
    <t>[0,0,0,0,0,0]</t>
  </si>
  <si>
    <t>[0.61,0,0,0,0,0]</t>
  </si>
  <si>
    <t>[0.79,-0.52,0.70,0,0,0]</t>
  </si>
  <si>
    <t>[0.87,-0.61,0.79,-0.52,0.52,0.44]</t>
  </si>
  <si>
    <t>Таблица 2: Последовательные эксперименты</t>
  </si>
  <si>
    <t>Шаг</t>
  </si>
  <si>
    <t>Выводы экспериментов PMP для UR5e</t>
  </si>
  <si>
    <t>1. Планировщик PMP генерирует траектории с практически нулевой ошибкой для одиночных движений из начальной позиции (err_RMS &lt; 0.0002 рад).</t>
  </si>
  <si>
    <t>2. Уменьшение T с 3.5с до 2.5с незначительно увеличивает ошибку (0.0000 → 0.0001 рад), что подтверждает робастность планировщика.</t>
  </si>
  <si>
    <t>3. В последовательных траекториях с резкими изменениями направления (Эксп.5) ошибка может достигать 16° (0.28 рад).</t>
  </si>
  <si>
    <t>4. Плавные последовательные траектории (Эксп.6) сохраняют высокую точность (макс. ошибка 1.31°).</t>
  </si>
  <si>
    <t>5. Система способна восстанавливаться: даже после шагов с большой ошибкой робот может вернуться к точному следованию (шаг 5 Эксп.5).</t>
  </si>
  <si>
    <t>6. Рекомендация: для последовательных траекторий использовать плавные переходы или blending между сегментами.</t>
  </si>
  <si>
    <t>err_max (град)</t>
  </si>
  <si>
    <t>err_RMS (град)</t>
  </si>
  <si>
    <t>Число активных суставов</t>
  </si>
  <si>
    <t>Успешность</t>
  </si>
  <si>
    <t>Успешно</t>
  </si>
  <si>
    <t>Неуспешно</t>
  </si>
  <si>
    <t>[0.00, 0.00, 0.00, 0.00, 0.00, 0.00]</t>
  </si>
  <si>
    <t>[0.70, -0.44, 0.61, -0.35, 0.35, 0.26]</t>
  </si>
  <si>
    <t>[1.05, -0.70, 0.61, -0.35, 0.35, 0.26]</t>
  </si>
  <si>
    <t>[0.35, 0.44, -0.52, 0.35, -0.35, 0.18]</t>
  </si>
  <si>
    <t>[0.36, 0.24, -0.48, 0.35, -0.35, 0.18]</t>
  </si>
  <si>
    <t>[-0.61, 0.52, -0.79, 0.26, -0.44, -0.35]</t>
  </si>
  <si>
    <t>[-0.34, 0.24, -0.80, 0.27, -0.44, -0.35]</t>
  </si>
  <si>
    <t>[-0.61, -0.70, -0.79, 0.26, -0.44, -0.35]</t>
  </si>
  <si>
    <t>[1.05, -0.70, 0.87, -0.52, 0.52, 0.35]</t>
  </si>
  <si>
    <t>[0.79, -0.44, 0.61, -0.26, 0.26, 0.18]</t>
  </si>
  <si>
    <t>[-0.44, 0.26, -0.61, 0.18, -0.35, -0.18]</t>
  </si>
  <si>
    <t>err_RMS, Эксп. 5</t>
  </si>
  <si>
    <t>err_RMS, Эксп. 6</t>
  </si>
  <si>
    <t>err_max, Эксп. 5</t>
  </si>
  <si>
    <t>err_max, Эксп. 6</t>
  </si>
  <si>
    <t>Успешность,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</si>
</sst>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4"/>
      <color rgb="FF1F4E79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name val="Arial"/>
      <family val="2"/>
      <charset val="204"/>
    </font>
    <font>
      <sz val="10"/>
      <color rgb="FF006100"/>
      <name val="Arial"/>
      <family val="2"/>
      <charset val="204"/>
    </font>
    <font>
      <b/>
      <sz val="10"/>
      <color rgb="FF9C0006"/>
      <name val="Arial"/>
      <family val="2"/>
      <charset val="204"/>
    </font>
    <font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5" borderId="3" xfId="0" applyFont="1" applyFill="1" applyBorder="1"/>
    <xf numFmtId="0" fontId="0" fillId="6" borderId="3" xfId="0" applyFont="1" applyFill="1" applyBorder="1"/>
    <xf numFmtId="0" fontId="0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charset val="204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family val="2"/>
        <charset val="204"/>
        <scheme val="none"/>
      </font>
      <fill>
        <patternFill patternType="solid">
          <fgColor rgb="FFD9D9D9"/>
          <bgColor rgb="FFC6EF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charset val="204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family val="2"/>
        <charset val="204"/>
        <scheme val="none"/>
      </font>
      <fill>
        <patternFill patternType="solid">
          <fgColor rgb="FFD9D9D9"/>
          <bgColor rgb="FFC6EF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left style="thin">
          <color rgb="FFB0B0B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family val="2"/>
        <charset val="204"/>
        <scheme val="none"/>
      </font>
      <fill>
        <patternFill patternType="solid">
          <fgColor rgb="FFD9D9D9"/>
          <bgColor rgb="FFC6EF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8DF8A"/>
      <rgbColor rgb="FFFF9896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2CA02C"/>
      <rgbColor rgb="FF003300"/>
      <rgbColor rgb="FF333300"/>
      <rgbColor rgb="FFD62728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</a:t>
            </a:r>
            <a:r>
              <a:rPr lang="es-MX" sz="1400" b="0" i="0" u="none" strike="noStrike" baseline="0"/>
              <a:t>RMS-</a:t>
            </a:r>
            <a:r>
              <a:rPr lang="ru-RU" sz="1400" b="0" i="0" u="none" strike="noStrike" baseline="0"/>
              <a:t>ошибки и максимальной ошибки по экспериментам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'Эксперименты из дома'!$I$4:$I$7</c:f>
              <c:numCache>
                <c:formatCode>General</c:formatCode>
                <c:ptCount val="4"/>
                <c:pt idx="0">
                  <c:v>0</c:v>
                </c:pt>
                <c:pt idx="1">
                  <c:v>5.7295779513082332E-3</c:v>
                </c:pt>
                <c:pt idx="2">
                  <c:v>0</c:v>
                </c:pt>
                <c:pt idx="3">
                  <c:v>5.7295779513082332E-3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62B-4D17-9CF0-A23C4B3D48CE}"/>
            </c:ext>
          </c:extLst>
        </c:ser>
        <c:ser>
          <c:idx val="2"/>
          <c:order val="2"/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'Эксперименты из дома'!$J$4:$J$7</c:f>
              <c:numCache>
                <c:formatCode>General</c:formatCode>
                <c:ptCount val="4"/>
                <c:pt idx="0">
                  <c:v>0</c:v>
                </c:pt>
                <c:pt idx="1">
                  <c:v>5.7295779513082332E-3</c:v>
                </c:pt>
                <c:pt idx="2">
                  <c:v>0</c:v>
                </c:pt>
                <c:pt idx="3">
                  <c:v>1.1459155902616466E-2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562B-4D17-9CF0-A23C4B3D48C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43072"/>
        <c:axId val="5025421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4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'Эксперименты из дома'!$A$4:$A$7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562B-4D17-9CF0-A23C4B3D48CE}"/>
                  </c:ext>
                </c:extLst>
              </c15:ser>
            </c15:filteredBarSeries>
          </c:ext>
        </c:extLst>
      </c:barChart>
      <c:catAx>
        <c:axId val="50254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Эксперимент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2542112"/>
        <c:crosses val="autoZero"/>
        <c:auto val="1"/>
        <c:lblAlgn val="ctr"/>
        <c:lblOffset val="100"/>
        <c:noMultiLvlLbl val="0"/>
      </c:catAx>
      <c:valAx>
        <c:axId val="5025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Ошибка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254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Число активных суставов в каждом эксперименте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'Эксперименты из дома'!$K$4:$K$7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201-4CEF-80AD-DC6F89DA1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328783"/>
        <c:axId val="545149007"/>
      </c:barChart>
      <c:catAx>
        <c:axId val="63732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Эксперимент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5149007"/>
        <c:crosses val="autoZero"/>
        <c:auto val="1"/>
        <c:lblAlgn val="ctr"/>
        <c:lblOffset val="100"/>
        <c:noMultiLvlLbl val="0"/>
      </c:catAx>
      <c:valAx>
        <c:axId val="54514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Количество активных суставов</a:t>
                </a:r>
                <a:endParaRPr lang="es-MX"/>
              </a:p>
            </c:rich>
          </c:tx>
          <c:layout>
            <c:manualLayout>
              <c:xMode val="edge"/>
              <c:yMode val="edge"/>
              <c:x val="2.7777777777777776E-2"/>
              <c:y val="0.176759259259259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732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Влияние времени выполнения</a:t>
            </a:r>
            <a:r>
              <a:rPr lang="en-US" sz="1400" b="0" i="0" u="none" strike="noStrike" baseline="0"/>
              <a:t> </a:t>
            </a:r>
            <a:r>
              <a:rPr lang="es-EC" sz="1400" b="0" i="0" u="none" strike="noStrike" baseline="0"/>
              <a:t>T=3,5 vs T=2,5  </a:t>
            </a:r>
            <a:r>
              <a:rPr lang="ru-RU" sz="1400" b="0" i="0" u="none" strike="noStrike" baseline="0"/>
              <a:t>на </a:t>
            </a:r>
            <a:r>
              <a:rPr lang="es-MX" sz="1400" b="0" i="0" u="none" strike="noStrike" baseline="0"/>
              <a:t>RMS-</a:t>
            </a:r>
            <a:r>
              <a:rPr lang="ru-RU" sz="1400" b="0" i="0" u="none" strike="noStrike" baseline="0"/>
              <a:t>ошибку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'Эксперименты из дома'!$M$12:$M$13</c:f>
              <c:numCache>
                <c:formatCode>General</c:formatCode>
                <c:ptCount val="2"/>
                <c:pt idx="0">
                  <c:v>0</c:v>
                </c:pt>
                <c:pt idx="1">
                  <c:v>5.7295779513082332E-3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422-4FF4-A261-F18535E9E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560736"/>
        <c:axId val="836433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4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'Эксперименты из дома'!$L$12:$L$13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</c:v>
                      </c:pt>
                      <c:pt idx="1">
                        <c:v>4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C422-4FF4-A261-F18535E9E730}"/>
                  </c:ext>
                </c:extLst>
              </c15:ser>
            </c15:filteredBarSeries>
          </c:ext>
        </c:extLst>
      </c:barChart>
      <c:catAx>
        <c:axId val="664560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Эксперимент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643327"/>
        <c:crosses val="autoZero"/>
        <c:auto val="1"/>
        <c:lblAlgn val="ctr"/>
        <c:lblOffset val="100"/>
        <c:noMultiLvlLbl val="0"/>
      </c:catAx>
      <c:valAx>
        <c:axId val="836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/>
                  <a:t>RMS-</a:t>
                </a:r>
                <a:r>
                  <a:rPr lang="ru-RU" sz="1000" b="0" i="0" u="none" strike="noStrike" baseline="0"/>
                  <a:t>ошибка, град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456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</a:t>
            </a:r>
            <a:r>
              <a:rPr lang="es-MX" sz="1400" b="0" i="0" u="none" strike="noStrike" baseline="0"/>
              <a:t>RMS-</a:t>
            </a:r>
            <a:r>
              <a:rPr lang="ru-RU" sz="1400" b="0" i="0" u="none" strike="noStrike" baseline="0"/>
              <a:t>ошибки по шагам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'Последовательные эксп.'!$L$18</c:f>
              <c:strCache>
                <c:ptCount val="1"/>
                <c:pt idx="0">
                  <c:v>err_RMS, Эксп.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'Последовательные эксп.'!$L$19:$L$23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8.3599999999999994E-2</c:v>
                </c:pt>
                <c:pt idx="3">
                  <c:v>0.15859999999999999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C-4264-BD2B-3B58D3FFDADA}"/>
            </c:ext>
          </c:extLst>
        </c:ser>
        <c:ser>
          <c:idx val="2"/>
          <c:order val="2"/>
          <c:tx>
            <c:strRef>
              <c:f>'Последовательные эксп.'!$M$18</c:f>
              <c:strCache>
                <c:ptCount val="1"/>
                <c:pt idx="0">
                  <c:v>err_RMS, Эксп. 6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'Последовательные эксп.'!$M$19:$M$23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C-4264-BD2B-3B58D3FFD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982400"/>
        <c:axId val="7879809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'Последовательные эксп.'!$K$18</c15:sqref>
                        </c15:formulaRef>
                      </c:ext>
                    </c:extLst>
                    <c:strCache>
                      <c:ptCount val="1"/>
                      <c:pt idx="0">
                        <c:v>Шаг</c:v>
                      </c:pt>
                    </c:strCache>
                  </c:strRef>
                </c:tx>
                <c:spPr>
                  <a:solidFill>
                    <a:schemeClr val="accent5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'Последовательные эксп.'!$K$19:$K$23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97C-4264-BD2B-3B58D3FFDADA}"/>
                  </c:ext>
                </c:extLst>
              </c15:ser>
            </c15:filteredBarSeries>
          </c:ext>
        </c:extLst>
      </c:barChart>
      <c:catAx>
        <c:axId val="7879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Шаг последовательности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7980960"/>
        <c:crosses val="autoZero"/>
        <c:auto val="1"/>
        <c:lblAlgn val="ctr"/>
        <c:lblOffset val="100"/>
        <c:noMultiLvlLbl val="0"/>
      </c:catAx>
      <c:valAx>
        <c:axId val="78798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/>
                  <a:t>RMS-</a:t>
                </a:r>
                <a:r>
                  <a:rPr lang="ru-RU" sz="1000" b="0" i="0" u="none" strike="noStrike" baseline="0"/>
                  <a:t>ошибка, рад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79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максимальной ошибки по шагам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'Последовательные эксп.'!$L$9</c:f>
              <c:strCache>
                <c:ptCount val="1"/>
                <c:pt idx="0">
                  <c:v>err_max, Эксп.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'Последовательные эксп.'!$L$10:$L$14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0.20150000000000001</c:v>
                </c:pt>
                <c:pt idx="3">
                  <c:v>0.28120000000000001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1-41F1-BB1B-3945FD2B0264}"/>
            </c:ext>
          </c:extLst>
        </c:ser>
        <c:ser>
          <c:idx val="2"/>
          <c:order val="2"/>
          <c:tx>
            <c:strRef>
              <c:f>'Последовательные эксп.'!$M$9</c:f>
              <c:strCache>
                <c:ptCount val="1"/>
                <c:pt idx="0">
                  <c:v>err_max, Эксп. 6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'Последовательные эксп.'!$M$10:$M$14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1-41F1-BB1B-3945FD2B0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40848"/>
        <c:axId val="6057466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'Последовательные эксп.'!$K$9</c15:sqref>
                        </c15:formulaRef>
                      </c:ext>
                    </c:extLst>
                    <c:strCache>
                      <c:ptCount val="1"/>
                      <c:pt idx="0">
                        <c:v>Шаг</c:v>
                      </c:pt>
                    </c:strCache>
                  </c:strRef>
                </c:tx>
                <c:spPr>
                  <a:solidFill>
                    <a:schemeClr val="accent5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'Последовательные эксп.'!$K$10:$K$14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7A1-41F1-BB1B-3945FD2B0264}"/>
                  </c:ext>
                </c:extLst>
              </c15:ser>
            </c15:filteredBarSeries>
          </c:ext>
        </c:extLst>
      </c:barChart>
      <c:catAx>
        <c:axId val="60574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Шаг последовательности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5746608"/>
        <c:crosses val="autoZero"/>
        <c:auto val="1"/>
        <c:lblAlgn val="ctr"/>
        <c:lblOffset val="100"/>
        <c:noMultiLvlLbl val="0"/>
      </c:catAx>
      <c:valAx>
        <c:axId val="6057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Максимальная ошибка, рад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574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успешности выполнения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'Последовательные эксп.'!$L$26</c:f>
              <c:strCache>
                <c:ptCount val="1"/>
                <c:pt idx="0">
                  <c:v>Успешность, %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'Последовательные эксп.'!$K$27:$K$28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cat>
          <c:val>
            <c:numRef>
              <c:f>'Последовательные эксп.'!$L$27:$L$28</c:f>
              <c:numCache>
                <c:formatCode>General</c:formatCode>
                <c:ptCount val="2"/>
                <c:pt idx="0">
                  <c:v>60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D-49BD-B8D1-A2034F5A0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393008"/>
        <c:axId val="6993958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'Последовательные эксп.'!$K$26</c15:sqref>
                        </c15:formulaRef>
                      </c:ext>
                    </c:extLst>
                    <c:strCache>
                      <c:ptCount val="1"/>
                      <c:pt idx="0">
                        <c:v>Эксп.</c:v>
                      </c:pt>
                    </c:strCache>
                  </c:strRef>
                </c:tx>
                <c:spPr>
                  <a:solidFill>
                    <a:schemeClr val="accent5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'Последовательные эксп.'!$K$27:$K$28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5</c:v>
                      </c:pt>
                      <c:pt idx="1">
                        <c:v>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'Последовательные эксп.'!$K$27:$K$28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5</c:v>
                      </c:pt>
                      <c:pt idx="1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8FD-49BD-B8D1-A2034F5A0040}"/>
                  </c:ext>
                </c:extLst>
              </c15:ser>
            </c15:filteredBarSeries>
          </c:ext>
        </c:extLst>
      </c:barChart>
      <c:catAx>
        <c:axId val="6993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Эксперимент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9395888"/>
        <c:crosses val="autoZero"/>
        <c:auto val="1"/>
        <c:lblAlgn val="ctr"/>
        <c:lblOffset val="100"/>
        <c:noMultiLvlLbl val="0"/>
      </c:catAx>
      <c:valAx>
        <c:axId val="6993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Успешность, %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93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183355</xdr:colOff>
      <xdr:row>7</xdr:row>
      <xdr:rowOff>171449</xdr:rowOff>
    </xdr:from>
    <xdr:to>
      <xdr:col>2</xdr:col>
      <xdr:colOff>2183605</xdr:colOff>
      <xdr:row>21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8969DC-790D-A882-7B00-187D65C10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540883</xdr:colOff>
      <xdr:row>9</xdr:row>
      <xdr:rowOff>2720</xdr:rowOff>
    </xdr:from>
    <xdr:to>
      <xdr:col>7</xdr:col>
      <xdr:colOff>874259</xdr:colOff>
      <xdr:row>21</xdr:row>
      <xdr:rowOff>174170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C37A91-3EB4-5F3B-66A9-83BDB48A0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1119187</xdr:colOff>
      <xdr:row>14</xdr:row>
      <xdr:rowOff>91168</xdr:rowOff>
    </xdr:from>
    <xdr:to>
      <xdr:col>13</xdr:col>
      <xdr:colOff>908275</xdr:colOff>
      <xdr:row>29</xdr:row>
      <xdr:rowOff>78920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DA79BA7-0257-EDEB-3C47-A859F780B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1754981</xdr:colOff>
      <xdr:row>17</xdr:row>
      <xdr:rowOff>261937</xdr:rowOff>
    </xdr:from>
    <xdr:to>
      <xdr:col>7</xdr:col>
      <xdr:colOff>912019</xdr:colOff>
      <xdr:row>31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9CA631-2340-619E-1F81-4AF3DE54A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302418</xdr:colOff>
      <xdr:row>17</xdr:row>
      <xdr:rowOff>195262</xdr:rowOff>
    </xdr:from>
    <xdr:to>
      <xdr:col>3</xdr:col>
      <xdr:colOff>1583530</xdr:colOff>
      <xdr:row>31</xdr:row>
      <xdr:rowOff>57149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3A0EFA-536A-644C-7559-6E23F8AE3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116681</xdr:colOff>
      <xdr:row>29</xdr:row>
      <xdr:rowOff>33337</xdr:rowOff>
    </xdr:from>
    <xdr:to>
      <xdr:col>13</xdr:col>
      <xdr:colOff>416719</xdr:colOff>
      <xdr:row>44</xdr:row>
      <xdr:rowOff>61912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B606672-2580-3C53-88C3-F478B87A4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14825-A709-4B67-B8F2-363B2C56754B}" name="Tabla1" displayName="Tabla1" ref="A3:K7" totalsRowShown="0" tableBorderDxfId="37">
  <autoFilter ref="A3:K7" xr:uid="{A4414825-A709-4B67-B8F2-363B2C56754B}"/>
  <tableColumns count="11">
    <tableColumn id="1" xr3:uid="{CDF25D35-FEF7-424F-A76C-47AEEEB7A80F}" name="Эксп." dataDxfId="36"/>
    <tableColumn id="2" xr3:uid="{04926B52-6701-499C-A198-718F6890E698}" name="q_start (рад)" dataDxfId="35"/>
    <tableColumn id="3" xr3:uid="{36A3ACB7-A4F2-4AC6-82B2-3AEE255EFD23}" name="q_target (рад)" dataDxfId="34"/>
    <tableColumn id="4" xr3:uid="{06F7E4BF-0CCC-4D1B-8214-F6F6E19D3651}" name="T (с)" dataDxfId="33"/>
    <tableColumn id="5" xr3:uid="{AB508B02-ED99-4383-9E67-99142ABD5651}" name="dt (с)" dataDxfId="32"/>
    <tableColumn id="6" xr3:uid="{E0DFF25A-950A-46D0-AC5C-FB116D67A29B}" name="err_RMS (рад)" dataDxfId="31"/>
    <tableColumn id="7" xr3:uid="{222E607A-B8A3-4FE5-8CF1-DC9A0692478E}" name="err_max (рад)" dataDxfId="30"/>
    <tableColumn id="8" xr3:uid="{FEDC9814-C611-4C60-85DF-D10AC00D2BAF}" name="Успешность" dataDxfId="29"/>
    <tableColumn id="9" xr3:uid="{CB1FEC0D-EDE1-442C-A188-5DAD31F2CDFD}" name="err_RMS (град)">
      <calculatedColumnFormula>Tabla1[[#This Row],[err_RMS (рад)]]*180/PI()</calculatedColumnFormula>
    </tableColumn>
    <tableColumn id="10" xr3:uid="{D3C95FE7-FFAB-4933-9654-377B9DE16DDF}" name="err_max (град)">
      <calculatedColumnFormula>Tabla1[[#This Row],[err_max (рад)]]*180/PI()</calculatedColumnFormula>
    </tableColumn>
    <tableColumn id="11" xr3:uid="{C1582563-CE97-4FCA-93EF-00456C60330D}" name="Число активных суставо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027733-78FC-4357-94E5-8CF14A4CFD52}" name="Tabla2" displayName="Tabla2" ref="L11:M13" totalsRowShown="0" tableBorderDxfId="28">
  <autoFilter ref="L11:M13" xr:uid="{5A027733-78FC-4357-94E5-8CF14A4CFD52}"/>
  <tableColumns count="2">
    <tableColumn id="1" xr3:uid="{C7A1948F-4C61-4733-816F-EAC3EDFD4F4E}" name="Эксп."/>
    <tableColumn id="3" xr3:uid="{6F92BE4C-1A02-47E4-81B6-F46A6A590756}" name="err_RMS (град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2EF53-01B0-4CFE-986B-40FC075120B3}" name="Tabla3" displayName="Tabla3" ref="A3:I8" totalsRowShown="0" headerRowDxfId="15" dataDxfId="16" headerRowBorderDxfId="26" tableBorderDxfId="27" totalsRowBorderDxfId="25">
  <autoFilter ref="A3:I8" xr:uid="{1992EF53-01B0-4CFE-986B-40FC075120B3}"/>
  <tableColumns count="9">
    <tableColumn id="1" xr3:uid="{1E3370C2-92FA-4FA6-8DEF-A0BAF04D0AFB}" name="Эксп." dataDxfId="1"/>
    <tableColumn id="2" xr3:uid="{832AA7D8-9D9D-4A78-A5E1-5E00F7E6C28F}" name="Шаг" dataDxfId="24"/>
    <tableColumn id="3" xr3:uid="{FD53F637-2819-41C2-A9F1-094310E57507}" name="q_start (рад)" dataDxfId="23"/>
    <tableColumn id="4" xr3:uid="{D00D40AC-80B4-4C3F-BD6A-D94B5BBA3AAF}" name="q_target (рад)" dataDxfId="22"/>
    <tableColumn id="5" xr3:uid="{146A5416-9482-43F8-9E2F-3B0FD9EDDDBD}" name="T (с)" dataDxfId="21"/>
    <tableColumn id="6" xr3:uid="{A8565EF9-A2E2-4FB1-BF95-F76B7D8526B7}" name="dt (с)" dataDxfId="20"/>
    <tableColumn id="7" xr3:uid="{C350F7F7-E08E-4BA1-9C56-DD4B1D489A11}" name="err_RMS (рад)" dataDxfId="19"/>
    <tableColumn id="8" xr3:uid="{969507CE-E7EB-453F-B204-877E97E41A88}" name="err_max (рад)" dataDxfId="18"/>
    <tableColumn id="9" xr3:uid="{FBB09591-2112-4E10-B130-A3C7546AF7AB}" name="Успешность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53B797-DD36-404E-B260-CDEB608D4F78}" name="Tabla4" displayName="Tabla4" ref="A13:I17" totalsRowShown="0" headerRowDxfId="3" dataDxfId="4" headerRowBorderDxfId="13" tableBorderDxfId="14" totalsRowBorderDxfId="12">
  <autoFilter ref="A13:I17" xr:uid="{4253B797-DD36-404E-B260-CDEB608D4F78}"/>
  <tableColumns count="9">
    <tableColumn id="1" xr3:uid="{BF941B01-791F-407F-ABA9-9E0FD7EFF417}" name="Эксп." dataDxfId="2"/>
    <tableColumn id="2" xr3:uid="{1354D335-0325-4AA9-8E74-A29317C4DA28}" name="Шаг" dataDxfId="11"/>
    <tableColumn id="3" xr3:uid="{52604DA4-5DA6-4C77-9CE6-70BAC675EDA3}" name="q_start (рад)" dataDxfId="10"/>
    <tableColumn id="4" xr3:uid="{3853EF7F-2D51-47FB-A46F-8DEF4EB8D207}" name="q_target (рад)" dataDxfId="9"/>
    <tableColumn id="5" xr3:uid="{713C728E-EE5B-43C9-A895-DB4EA323A474}" name="T (с)" dataDxfId="8"/>
    <tableColumn id="6" xr3:uid="{BFFA6EE2-6326-440F-8CCC-C29A9751DE6F}" name="dt (с)" dataDxfId="7"/>
    <tableColumn id="7" xr3:uid="{EAD08778-BFDE-4B37-A970-AE99A71898B8}" name="err_RMS (рад)" dataDxfId="0"/>
    <tableColumn id="8" xr3:uid="{71C82995-002C-4AFC-8A10-97355F65BA2A}" name="err_max (рад)" dataDxfId="6"/>
    <tableColumn id="9" xr3:uid="{FC6C35FF-B0A3-4663-8CF7-393C07FDA870}" name="Успешность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459A3-E5AE-4C56-BA91-A01DD9064B41}" name="Tabla5" displayName="Tabla5" ref="K26:L28" totalsRowShown="0">
  <autoFilter ref="K26:L28" xr:uid="{820459A3-E5AE-4C56-BA91-A01DD9064B41}"/>
  <tableColumns count="2">
    <tableColumn id="1" xr3:uid="{9E5F1803-BFFC-4A09-9EE1-02A078FBF886}" name="Эксп."/>
    <tableColumn id="2" xr3:uid="{8800FF83-348A-4C3E-B1E0-7A73CCED5F4D}" name="Успешность,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zoomScale="70" zoomScaleNormal="70" workbookViewId="0">
      <selection activeCell="H4" sqref="H4:H7"/>
    </sheetView>
  </sheetViews>
  <sheetFormatPr baseColWidth="10" defaultColWidth="8.6640625" defaultRowHeight="14.25" x14ac:dyDescent="0.45"/>
  <cols>
    <col min="1" max="1" width="14" customWidth="1"/>
    <col min="2" max="2" width="22" customWidth="1"/>
    <col min="3" max="3" width="38" customWidth="1"/>
    <col min="4" max="5" width="14" customWidth="1"/>
    <col min="6" max="6" width="15.86328125" customWidth="1"/>
    <col min="7" max="7" width="15.3984375" customWidth="1"/>
    <col min="8" max="8" width="14" customWidth="1"/>
    <col min="9" max="9" width="14.46484375" customWidth="1"/>
    <col min="10" max="10" width="15.9296875" customWidth="1"/>
    <col min="11" max="11" width="25.3984375" customWidth="1"/>
    <col min="12" max="12" width="32.86328125" customWidth="1"/>
    <col min="14" max="14" width="15.3984375" customWidth="1"/>
  </cols>
  <sheetData>
    <row r="1" spans="1:13" ht="17.649999999999999" x14ac:dyDescent="0.5">
      <c r="A1" s="1" t="s">
        <v>0</v>
      </c>
      <c r="B1" s="1"/>
      <c r="C1" s="1"/>
      <c r="D1" s="1"/>
      <c r="E1" s="1"/>
      <c r="F1" s="1"/>
      <c r="G1" s="1"/>
      <c r="H1" s="1"/>
    </row>
    <row r="3" spans="1:13" x14ac:dyDescent="0.45">
      <c r="A3" s="7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24</v>
      </c>
      <c r="I3" t="s">
        <v>22</v>
      </c>
      <c r="J3" t="s">
        <v>21</v>
      </c>
      <c r="K3" t="s">
        <v>23</v>
      </c>
    </row>
    <row r="4" spans="1:13" x14ac:dyDescent="0.45">
      <c r="A4" s="8">
        <v>1</v>
      </c>
      <c r="B4" s="4" t="s">
        <v>8</v>
      </c>
      <c r="C4" s="4" t="s">
        <v>9</v>
      </c>
      <c r="D4" s="4">
        <v>2</v>
      </c>
      <c r="E4" s="4">
        <v>0.02</v>
      </c>
      <c r="F4" s="4">
        <v>0</v>
      </c>
      <c r="G4" s="4">
        <v>0</v>
      </c>
      <c r="H4" s="5" t="s">
        <v>25</v>
      </c>
      <c r="I4">
        <f>Tabla1[[#This Row],[err_RMS (рад)]]*180/PI()</f>
        <v>0</v>
      </c>
      <c r="J4">
        <f>Tabla1[[#This Row],[err_max (рад)]]*180/PI()</f>
        <v>0</v>
      </c>
      <c r="K4">
        <v>1</v>
      </c>
    </row>
    <row r="5" spans="1:13" x14ac:dyDescent="0.45">
      <c r="A5" s="8">
        <v>2</v>
      </c>
      <c r="B5" s="4" t="s">
        <v>8</v>
      </c>
      <c r="C5" s="4" t="s">
        <v>10</v>
      </c>
      <c r="D5" s="4">
        <v>2.8</v>
      </c>
      <c r="E5" s="4">
        <v>0.02</v>
      </c>
      <c r="F5" s="4">
        <v>1E-4</v>
      </c>
      <c r="G5" s="4">
        <v>1E-4</v>
      </c>
      <c r="H5" s="5" t="s">
        <v>25</v>
      </c>
      <c r="I5">
        <f>Tabla1[[#This Row],[err_RMS (рад)]]*180/PI()</f>
        <v>5.7295779513082332E-3</v>
      </c>
      <c r="J5">
        <f>Tabla1[[#This Row],[err_max (рад)]]*180/PI()</f>
        <v>5.7295779513082332E-3</v>
      </c>
      <c r="K5">
        <v>3</v>
      </c>
    </row>
    <row r="6" spans="1:13" x14ac:dyDescent="0.45">
      <c r="A6" s="8">
        <v>3</v>
      </c>
      <c r="B6" s="4" t="s">
        <v>8</v>
      </c>
      <c r="C6" s="4" t="s">
        <v>11</v>
      </c>
      <c r="D6" s="4">
        <v>3.5</v>
      </c>
      <c r="E6" s="4">
        <v>0.02</v>
      </c>
      <c r="F6" s="4">
        <v>0</v>
      </c>
      <c r="G6" s="4">
        <v>0</v>
      </c>
      <c r="H6" s="5" t="s">
        <v>25</v>
      </c>
      <c r="I6">
        <f>Tabla1[[#This Row],[err_RMS (рад)]]*180/PI()</f>
        <v>0</v>
      </c>
      <c r="J6">
        <f>Tabla1[[#This Row],[err_max (рад)]]*180/PI()</f>
        <v>0</v>
      </c>
      <c r="K6">
        <v>6</v>
      </c>
    </row>
    <row r="7" spans="1:13" x14ac:dyDescent="0.45">
      <c r="A7" s="8">
        <v>4</v>
      </c>
      <c r="B7" s="4" t="s">
        <v>8</v>
      </c>
      <c r="C7" s="4" t="s">
        <v>11</v>
      </c>
      <c r="D7" s="4">
        <v>2.5</v>
      </c>
      <c r="E7" s="4">
        <v>0.02</v>
      </c>
      <c r="F7" s="4">
        <v>1E-4</v>
      </c>
      <c r="G7" s="4">
        <v>2.0000000000000001E-4</v>
      </c>
      <c r="H7" s="5" t="s">
        <v>25</v>
      </c>
      <c r="I7">
        <f>Tabla1[[#This Row],[err_RMS (рад)]]*180/PI()</f>
        <v>5.7295779513082332E-3</v>
      </c>
      <c r="J7">
        <f>Tabla1[[#This Row],[err_max (рад)]]*180/PI()</f>
        <v>1.1459155902616466E-2</v>
      </c>
      <c r="K7">
        <v>6</v>
      </c>
    </row>
    <row r="11" spans="1:13" x14ac:dyDescent="0.45">
      <c r="L11" s="7" t="s">
        <v>1</v>
      </c>
      <c r="M11" s="9" t="s">
        <v>22</v>
      </c>
    </row>
    <row r="12" spans="1:13" x14ac:dyDescent="0.45">
      <c r="L12" s="14">
        <v>3</v>
      </c>
      <c r="M12" s="10">
        <v>0</v>
      </c>
    </row>
    <row r="13" spans="1:13" x14ac:dyDescent="0.45">
      <c r="L13" s="8">
        <v>4</v>
      </c>
      <c r="M13" s="11">
        <v>5.7295779513082332E-3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opLeftCell="D10" zoomScaleNormal="100" workbookViewId="0">
      <selection activeCell="K26" sqref="K26:L28"/>
    </sheetView>
  </sheetViews>
  <sheetFormatPr baseColWidth="10" defaultColWidth="8.6640625" defaultRowHeight="14.25" x14ac:dyDescent="0.45"/>
  <cols>
    <col min="1" max="2" width="14" customWidth="1"/>
    <col min="3" max="3" width="32.06640625" customWidth="1"/>
    <col min="4" max="4" width="31.9296875" customWidth="1"/>
    <col min="5" max="6" width="14" customWidth="1"/>
    <col min="7" max="7" width="15.86328125" customWidth="1"/>
    <col min="8" max="8" width="15.3984375" customWidth="1"/>
    <col min="9" max="9" width="14.33203125" customWidth="1"/>
    <col min="11" max="11" width="13.265625" customWidth="1"/>
    <col min="12" max="12" width="14.86328125" customWidth="1"/>
  </cols>
  <sheetData>
    <row r="1" spans="1:13" ht="17.649999999999999" x14ac:dyDescent="0.5">
      <c r="A1" s="1" t="s">
        <v>12</v>
      </c>
      <c r="B1" s="1"/>
      <c r="C1" s="1"/>
      <c r="D1" s="1"/>
      <c r="E1" s="1"/>
      <c r="F1" s="1"/>
      <c r="G1" s="1"/>
      <c r="H1" s="1"/>
      <c r="I1" s="1"/>
    </row>
    <row r="3" spans="1:13" x14ac:dyDescent="0.45">
      <c r="A3" s="18" t="s">
        <v>1</v>
      </c>
      <c r="B3" s="19" t="s">
        <v>13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20" t="s">
        <v>24</v>
      </c>
    </row>
    <row r="4" spans="1:13" x14ac:dyDescent="0.45">
      <c r="A4" s="15">
        <v>5</v>
      </c>
      <c r="B4" s="4">
        <v>1</v>
      </c>
      <c r="C4" s="13" t="s">
        <v>27</v>
      </c>
      <c r="D4" s="13" t="s">
        <v>28</v>
      </c>
      <c r="E4" s="4">
        <v>3</v>
      </c>
      <c r="F4" s="4">
        <v>0.02</v>
      </c>
      <c r="G4" s="4">
        <v>0</v>
      </c>
      <c r="H4" s="4">
        <v>0</v>
      </c>
      <c r="I4" s="16" t="s">
        <v>25</v>
      </c>
    </row>
    <row r="5" spans="1:13" x14ac:dyDescent="0.45">
      <c r="A5" s="15">
        <v>5</v>
      </c>
      <c r="B5" s="4">
        <v>2</v>
      </c>
      <c r="C5" s="13" t="s">
        <v>28</v>
      </c>
      <c r="D5" s="13" t="s">
        <v>29</v>
      </c>
      <c r="E5" s="4">
        <v>3.6</v>
      </c>
      <c r="F5" s="4">
        <v>0.02</v>
      </c>
      <c r="G5" s="4">
        <v>0</v>
      </c>
      <c r="H5" s="4">
        <v>0</v>
      </c>
      <c r="I5" s="16" t="s">
        <v>25</v>
      </c>
    </row>
    <row r="6" spans="1:13" x14ac:dyDescent="0.45">
      <c r="A6" s="15">
        <v>5</v>
      </c>
      <c r="B6" s="4">
        <v>3</v>
      </c>
      <c r="C6" s="13" t="s">
        <v>29</v>
      </c>
      <c r="D6" s="13" t="s">
        <v>30</v>
      </c>
      <c r="E6" s="4">
        <v>3.2</v>
      </c>
      <c r="F6" s="4">
        <v>0.02</v>
      </c>
      <c r="G6" s="4">
        <v>8.3599999999999994E-2</v>
      </c>
      <c r="H6" s="4">
        <v>0.20150000000000001</v>
      </c>
      <c r="I6" s="17" t="s">
        <v>26</v>
      </c>
    </row>
    <row r="7" spans="1:13" x14ac:dyDescent="0.45">
      <c r="A7" s="15">
        <v>5</v>
      </c>
      <c r="B7" s="4">
        <v>4</v>
      </c>
      <c r="C7" s="13" t="s">
        <v>31</v>
      </c>
      <c r="D7" s="13" t="s">
        <v>32</v>
      </c>
      <c r="E7" s="4">
        <v>3.4</v>
      </c>
      <c r="F7" s="4">
        <v>0.02</v>
      </c>
      <c r="G7" s="4">
        <v>0.15859999999999999</v>
      </c>
      <c r="H7" s="4">
        <v>0.28120000000000001</v>
      </c>
      <c r="I7" s="17" t="s">
        <v>26</v>
      </c>
    </row>
    <row r="8" spans="1:13" x14ac:dyDescent="0.45">
      <c r="A8" s="21">
        <v>5</v>
      </c>
      <c r="B8" s="22">
        <v>5</v>
      </c>
      <c r="C8" s="23" t="s">
        <v>33</v>
      </c>
      <c r="D8" s="23" t="s">
        <v>34</v>
      </c>
      <c r="E8" s="22">
        <v>3.4</v>
      </c>
      <c r="F8" s="22">
        <v>0.02</v>
      </c>
      <c r="G8" s="22">
        <v>0</v>
      </c>
      <c r="H8" s="22">
        <v>0</v>
      </c>
      <c r="I8" s="24" t="s">
        <v>25</v>
      </c>
    </row>
    <row r="9" spans="1:13" ht="27.75" x14ac:dyDescent="0.45">
      <c r="K9" s="3" t="s">
        <v>13</v>
      </c>
      <c r="L9" s="3" t="s">
        <v>40</v>
      </c>
      <c r="M9" s="3" t="s">
        <v>41</v>
      </c>
    </row>
    <row r="10" spans="1:13" x14ac:dyDescent="0.45">
      <c r="K10" s="12">
        <v>1</v>
      </c>
      <c r="L10" s="12">
        <v>0</v>
      </c>
      <c r="M10" s="12">
        <v>0</v>
      </c>
    </row>
    <row r="11" spans="1:13" x14ac:dyDescent="0.45">
      <c r="K11" s="13">
        <v>2</v>
      </c>
      <c r="L11" s="13">
        <v>0</v>
      </c>
      <c r="M11" s="13">
        <v>0</v>
      </c>
    </row>
    <row r="12" spans="1:13" x14ac:dyDescent="0.45">
      <c r="K12" s="12">
        <v>3</v>
      </c>
      <c r="L12" s="12">
        <v>0.20150000000000001</v>
      </c>
      <c r="M12" s="12">
        <v>0</v>
      </c>
    </row>
    <row r="13" spans="1:13" x14ac:dyDescent="0.45">
      <c r="A13" s="18" t="s">
        <v>1</v>
      </c>
      <c r="B13" s="19" t="s">
        <v>13</v>
      </c>
      <c r="C13" s="19" t="s">
        <v>2</v>
      </c>
      <c r="D13" s="19" t="s">
        <v>3</v>
      </c>
      <c r="E13" s="19" t="s">
        <v>4</v>
      </c>
      <c r="F13" s="19" t="s">
        <v>5</v>
      </c>
      <c r="G13" s="19" t="s">
        <v>6</v>
      </c>
      <c r="H13" s="19" t="s">
        <v>7</v>
      </c>
      <c r="I13" s="20" t="s">
        <v>24</v>
      </c>
      <c r="K13" s="13">
        <v>4</v>
      </c>
      <c r="L13" s="13">
        <v>0.28120000000000001</v>
      </c>
      <c r="M13" s="13">
        <v>2.29E-2</v>
      </c>
    </row>
    <row r="14" spans="1:13" x14ac:dyDescent="0.45">
      <c r="A14" s="15">
        <v>6</v>
      </c>
      <c r="B14" s="4">
        <v>1</v>
      </c>
      <c r="C14" s="4" t="s">
        <v>27</v>
      </c>
      <c r="D14" s="4" t="s">
        <v>28</v>
      </c>
      <c r="E14" s="4">
        <v>3</v>
      </c>
      <c r="F14" s="4">
        <v>0.02</v>
      </c>
      <c r="G14" s="4">
        <v>0</v>
      </c>
      <c r="H14" s="4">
        <v>0</v>
      </c>
      <c r="I14" s="16" t="s">
        <v>25</v>
      </c>
      <c r="K14" s="12">
        <v>5</v>
      </c>
      <c r="L14" s="12">
        <v>0</v>
      </c>
    </row>
    <row r="15" spans="1:13" x14ac:dyDescent="0.45">
      <c r="A15" s="15">
        <v>6</v>
      </c>
      <c r="B15" s="4">
        <v>2</v>
      </c>
      <c r="C15" s="4" t="s">
        <v>28</v>
      </c>
      <c r="D15" s="4" t="s">
        <v>35</v>
      </c>
      <c r="E15" s="4">
        <v>3.6</v>
      </c>
      <c r="F15" s="4">
        <v>0.02</v>
      </c>
      <c r="G15" s="4">
        <v>0</v>
      </c>
      <c r="H15" s="4">
        <v>0</v>
      </c>
      <c r="I15" s="16" t="s">
        <v>25</v>
      </c>
    </row>
    <row r="16" spans="1:13" x14ac:dyDescent="0.45">
      <c r="A16" s="15">
        <v>6</v>
      </c>
      <c r="B16" s="4">
        <v>3</v>
      </c>
      <c r="C16" s="4" t="s">
        <v>35</v>
      </c>
      <c r="D16" s="4" t="s">
        <v>36</v>
      </c>
      <c r="E16" s="4">
        <v>3.2</v>
      </c>
      <c r="F16" s="4">
        <v>0.02</v>
      </c>
      <c r="G16" s="4">
        <v>0</v>
      </c>
      <c r="H16" s="4">
        <v>0</v>
      </c>
      <c r="I16" s="16" t="s">
        <v>25</v>
      </c>
    </row>
    <row r="17" spans="1:13" x14ac:dyDescent="0.45">
      <c r="A17" s="21">
        <v>6</v>
      </c>
      <c r="B17" s="22">
        <v>4</v>
      </c>
      <c r="C17" s="23" t="s">
        <v>36</v>
      </c>
      <c r="D17" s="22" t="s">
        <v>37</v>
      </c>
      <c r="E17" s="22">
        <v>3.5</v>
      </c>
      <c r="F17" s="22">
        <v>0.02</v>
      </c>
      <c r="G17" s="22">
        <v>1.0800000000000001E-2</v>
      </c>
      <c r="H17" s="22">
        <v>2.29E-2</v>
      </c>
      <c r="I17" s="24" t="s">
        <v>25</v>
      </c>
    </row>
    <row r="18" spans="1:13" ht="27.75" x14ac:dyDescent="0.45">
      <c r="K18" s="3" t="s">
        <v>13</v>
      </c>
      <c r="L18" s="3" t="s">
        <v>38</v>
      </c>
      <c r="M18" s="3" t="s">
        <v>39</v>
      </c>
    </row>
    <row r="19" spans="1:13" x14ac:dyDescent="0.45">
      <c r="K19" s="12">
        <v>1</v>
      </c>
      <c r="L19" s="12">
        <v>0</v>
      </c>
      <c r="M19" s="12">
        <v>0</v>
      </c>
    </row>
    <row r="20" spans="1:13" x14ac:dyDescent="0.45">
      <c r="K20" s="13">
        <v>2</v>
      </c>
      <c r="L20" s="13">
        <v>0</v>
      </c>
      <c r="M20" s="13">
        <v>0</v>
      </c>
    </row>
    <row r="21" spans="1:13" x14ac:dyDescent="0.45">
      <c r="K21" s="12">
        <v>3</v>
      </c>
      <c r="L21" s="12">
        <v>8.3599999999999994E-2</v>
      </c>
      <c r="M21" s="12">
        <v>0</v>
      </c>
    </row>
    <row r="22" spans="1:13" x14ac:dyDescent="0.45">
      <c r="K22" s="13">
        <v>4</v>
      </c>
      <c r="L22" s="13">
        <v>0.15859999999999999</v>
      </c>
      <c r="M22" s="13">
        <v>1.0800000000000001E-2</v>
      </c>
    </row>
    <row r="23" spans="1:13" x14ac:dyDescent="0.45">
      <c r="K23" s="12">
        <v>5</v>
      </c>
      <c r="L23" s="12">
        <v>0</v>
      </c>
    </row>
    <row r="26" spans="1:13" x14ac:dyDescent="0.45">
      <c r="K26" t="s">
        <v>1</v>
      </c>
      <c r="L26" t="s">
        <v>42</v>
      </c>
    </row>
    <row r="27" spans="1:13" x14ac:dyDescent="0.45">
      <c r="K27">
        <v>5</v>
      </c>
      <c r="L27">
        <v>60</v>
      </c>
    </row>
    <row r="28" spans="1:13" x14ac:dyDescent="0.45">
      <c r="K28">
        <v>6</v>
      </c>
      <c r="L28">
        <v>100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tabSelected="1" zoomScaleNormal="100" workbookViewId="0"/>
  </sheetViews>
  <sheetFormatPr baseColWidth="10" defaultColWidth="8.6640625" defaultRowHeight="14.25" x14ac:dyDescent="0.45"/>
  <cols>
    <col min="1" max="1" width="110" customWidth="1"/>
  </cols>
  <sheetData>
    <row r="1" spans="1:1" ht="17.649999999999999" x14ac:dyDescent="0.5">
      <c r="A1" s="2" t="s">
        <v>14</v>
      </c>
    </row>
    <row r="3" spans="1:1" ht="24.75" customHeight="1" x14ac:dyDescent="0.45">
      <c r="A3" s="6" t="s">
        <v>15</v>
      </c>
    </row>
    <row r="4" spans="1:1" ht="24.75" customHeight="1" x14ac:dyDescent="0.45">
      <c r="A4" s="6" t="s">
        <v>16</v>
      </c>
    </row>
    <row r="5" spans="1:1" ht="24.75" customHeight="1" x14ac:dyDescent="0.45">
      <c r="A5" s="6" t="s">
        <v>17</v>
      </c>
    </row>
    <row r="6" spans="1:1" ht="24.75" customHeight="1" x14ac:dyDescent="0.45">
      <c r="A6" s="6" t="s">
        <v>18</v>
      </c>
    </row>
    <row r="7" spans="1:1" ht="24.75" customHeight="1" x14ac:dyDescent="0.45">
      <c r="A7" s="6" t="s">
        <v>19</v>
      </c>
    </row>
    <row r="8" spans="1:1" ht="24.75" customHeight="1" x14ac:dyDescent="0.45">
      <c r="A8" s="6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Эксперименты из дома</vt:lpstr>
      <vt:lpstr>Последовательные эксп.</vt:lpstr>
      <vt:lpstr>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Cristina Espinosa</cp:lastModifiedBy>
  <cp:revision>1</cp:revision>
  <dcterms:created xsi:type="dcterms:W3CDTF">2026-04-06T18:58:49Z</dcterms:created>
  <dcterms:modified xsi:type="dcterms:W3CDTF">2026-04-06T20:49:41Z</dcterms:modified>
  <dc:language>en-US</dc:language>
</cp:coreProperties>
</file>